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Granular Breakdown" sheetId="2" state="visible" r:id="rId2"/>
    <sheet xmlns:r="http://schemas.openxmlformats.org/officeDocument/2006/relationships" name="Staffing &amp; Schedule" sheetId="3" state="visible" r:id="rId3"/>
    <sheet xmlns:r="http://schemas.openxmlformats.org/officeDocument/2006/relationships" name="Assumptions &amp; Ri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4B5563"/>
      <sz val="10"/>
    </font>
    <font>
      <name val="Segoe UI"/>
      <b val="1"/>
      <color rgb="006B7280"/>
      <sz val="9"/>
    </font>
    <font>
      <name val="Segoe UI"/>
      <b val="1"/>
      <color rgb="00065F46"/>
      <sz val="14"/>
    </font>
    <font>
      <name val="Segoe UI"/>
      <b val="1"/>
      <color rgb="0092400E"/>
      <sz val="16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Consolas"/>
      <sz val="9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b val="1"/>
      <color rgb="00065F46"/>
      <sz val="10"/>
    </font>
  </fonts>
  <fills count="9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D1FAE5"/>
        <bgColor rgb="00D1FAE5"/>
      </patternFill>
    </fill>
    <fill>
      <patternFill patternType="solid">
        <fgColor rgb="00E8EEF5"/>
        <bgColor rgb="00E8EEF5"/>
      </patternFill>
    </fill>
    <fill>
      <patternFill patternType="solid">
        <fgColor rgb="00FEF3C7"/>
        <bgColor rgb="00FEF3C7"/>
      </patternFill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0" borderId="0" pivotButton="0" quotePrefix="0" xfId="0"/>
    <xf numFmtId="0" fontId="7" fillId="6" borderId="0" applyAlignment="1" pivotButton="0" quotePrefix="0" xfId="0">
      <alignment horizontal="left"/>
    </xf>
    <xf numFmtId="0" fontId="7" fillId="6" borderId="0" applyAlignment="1" pivotButton="0" quotePrefix="0" xfId="0">
      <alignment horizontal="center"/>
    </xf>
    <xf numFmtId="0" fontId="8" fillId="0" borderId="1" pivotButton="0" quotePrefix="0" xfId="0"/>
    <xf numFmtId="3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0" fontId="9" fillId="4" borderId="2" pivotButton="0" quotePrefix="0" xfId="0"/>
    <xf numFmtId="3" fontId="9" fillId="4" borderId="2" applyAlignment="1" pivotButton="0" quotePrefix="0" xfId="0">
      <alignment horizontal="right"/>
    </xf>
    <xf numFmtId="164" fontId="9" fillId="4" borderId="2" applyAlignment="1" pivotButton="0" quotePrefix="0" xfId="0">
      <alignment horizontal="right"/>
    </xf>
    <xf numFmtId="0" fontId="9" fillId="0" borderId="1" pivotButton="0" quotePrefix="0" xfId="0"/>
    <xf numFmtId="0" fontId="10" fillId="0" borderId="1" applyAlignment="1" pivotButton="0" quotePrefix="0" xfId="0">
      <alignment horizontal="center"/>
    </xf>
    <xf numFmtId="3" fontId="9" fillId="0" borderId="1" applyAlignment="1" pivotButton="0" quotePrefix="0" xfId="0">
      <alignment horizontal="right"/>
    </xf>
    <xf numFmtId="0" fontId="10" fillId="7" borderId="1" applyAlignment="1" pivotButton="0" quotePrefix="0" xfId="0">
      <alignment horizontal="center"/>
    </xf>
    <xf numFmtId="0" fontId="9" fillId="7" borderId="1" pivotButton="0" quotePrefix="0" xfId="0"/>
    <xf numFmtId="0" fontId="8" fillId="7" borderId="1" pivotButton="0" quotePrefix="0" xfId="0"/>
    <xf numFmtId="3" fontId="8" fillId="7" borderId="1" applyAlignment="1" pivotButton="0" quotePrefix="0" xfId="0">
      <alignment horizontal="right"/>
    </xf>
    <xf numFmtId="3" fontId="9" fillId="7" borderId="1" applyAlignment="1" pivotButton="0" quotePrefix="0" xfId="0">
      <alignment horizontal="right"/>
    </xf>
    <xf numFmtId="0" fontId="9" fillId="4" borderId="2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3" fontId="8" fillId="0" borderId="1" applyAlignment="1" pivotButton="0" quotePrefix="0" xfId="0">
      <alignment horizontal="center"/>
    </xf>
    <xf numFmtId="3" fontId="9" fillId="4" borderId="2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6" customWidth="1" min="3" max="3"/>
    <col width="22" customWidth="1" min="4" max="4"/>
    <col width="18" customWidth="1" min="5" max="5"/>
    <col width="22" customWidth="1" min="6" max="6"/>
    <col width="48" customWidth="1" min="7" max="7"/>
    <col width="18" customWidth="1" min="8" max="8"/>
    <col width="18" customWidth="1" min="9" max="9"/>
  </cols>
  <sheetData>
    <row r="1">
      <c r="A1" s="1" t="inlineStr">
        <is>
          <t>AMUSEMENT RIDE CRM &amp; INVENTORY SYSTEM</t>
        </is>
      </c>
    </row>
    <row r="2">
      <c r="A2" s="2" t="inlineStr">
        <is>
          <t>Technical Scope Work Estimation &amp; Project Execution Metrics (.NET 8 Razor Pages)</t>
        </is>
      </c>
    </row>
    <row r="4">
      <c r="B4" s="3" t="inlineStr">
        <is>
          <t>TOTAL PROJECT EFFORT</t>
        </is>
      </c>
      <c r="C4" s="4" t="n"/>
      <c r="D4" s="3" t="inlineStr">
        <is>
          <t>CALENDAR DURATION</t>
        </is>
      </c>
      <c r="E4" s="4" t="n"/>
      <c r="F4" s="3" t="inlineStr">
        <is>
          <t>CORE FEATURE MODULES</t>
        </is>
      </c>
      <c r="G4" s="4" t="n"/>
      <c r="H4" s="3" t="inlineStr">
        <is>
          <t>SPECIALIST TEAM SIZE</t>
        </is>
      </c>
      <c r="I4" s="4" t="n"/>
    </row>
    <row r="5">
      <c r="B5" s="5" t="inlineStr">
        <is>
          <t>1,088 Hours</t>
        </is>
      </c>
      <c r="C5" s="4" t="n"/>
      <c r="D5" s="6" t="inlineStr">
        <is>
          <t>13.6 Weeks (~3.5 Mo)</t>
        </is>
      </c>
      <c r="E5" s="4" t="n"/>
      <c r="F5" s="7" t="inlineStr">
        <is>
          <t>14 Modules</t>
        </is>
      </c>
      <c r="G5" s="4" t="n"/>
      <c r="H5" s="8" t="inlineStr">
        <is>
          <t>4 Resources</t>
        </is>
      </c>
      <c r="I5" s="4" t="n"/>
    </row>
    <row r="8">
      <c r="B8" s="9" t="inlineStr">
        <is>
          <t>1. Effort Distribution by Engineering Discipline</t>
        </is>
      </c>
    </row>
    <row r="9">
      <c r="B9" s="10" t="inlineStr">
        <is>
          <t>Discipline</t>
        </is>
      </c>
      <c r="C9" s="11" t="inlineStr">
        <is>
          <t>Effort (Hours)</t>
        </is>
      </c>
      <c r="D9" s="11" t="inlineStr">
        <is>
          <t>% of Total</t>
        </is>
      </c>
      <c r="E9" s="10" t="inlineStr">
        <is>
          <t>Primary Tech Stack / Tools</t>
        </is>
      </c>
      <c r="F9" s="10" t="inlineStr">
        <is>
          <t>Assigned Role</t>
        </is>
      </c>
    </row>
    <row r="10">
      <c r="B10" s="12" t="inlineStr">
        <is>
          <t>Database Architecture &amp; EF Core 8.0</t>
        </is>
      </c>
      <c r="C10" s="13">
        <f>'Granular Breakdown'!D18</f>
        <v/>
      </c>
      <c r="D10" s="14">
        <f>'Granular Breakdown'!D18/'Granular Breakdown'!H18</f>
        <v/>
      </c>
      <c r="E10" s="12" t="inlineStr">
        <is>
          <t>SQL Server, EF Core 8.0, Migrations, RowVersion</t>
        </is>
      </c>
      <c r="F10" s="12" t="inlineStr">
        <is>
          <t>Lead Architect / Senior Backend</t>
        </is>
      </c>
    </row>
    <row r="11">
      <c r="B11" s="12" t="inlineStr">
        <is>
          <t>Backend Business Logic, Services &amp; Handlers</t>
        </is>
      </c>
      <c r="C11" s="13">
        <f>'Granular Breakdown'!E18</f>
        <v/>
      </c>
      <c r="D11" s="14">
        <f>'Granular Breakdown'!E18/'Granular Breakdown'!H18</f>
        <v/>
      </c>
      <c r="E11" s="12" t="inlineStr">
        <is>
          <t>C# 12, ASP.NET Core 8.0, QBWC SOAP, Polly</t>
        </is>
      </c>
      <c r="F11" s="12" t="inlineStr">
        <is>
          <t>Senior Full-Stack Developers (x2)</t>
        </is>
      </c>
    </row>
    <row r="12">
      <c r="B12" s="12" t="inlineStr">
        <is>
          <t>Frontend UI, Razor Pages &amp; Bootstrap 5.3</t>
        </is>
      </c>
      <c r="C12" s="13">
        <f>'Granular Breakdown'!F18</f>
        <v/>
      </c>
      <c r="D12" s="14">
        <f>'Granular Breakdown'!F18/'Granular Breakdown'!H18</f>
        <v/>
      </c>
      <c r="E12" s="12" t="inlineStr">
        <is>
          <t>Razor Pages (.cshtml), Bootstrap 5.3, Bootstrap Icons</t>
        </is>
      </c>
      <c r="F12" s="12" t="inlineStr">
        <is>
          <t>Full-Stack / UI Developers</t>
        </is>
      </c>
    </row>
    <row r="13">
      <c r="B13" s="12" t="inlineStr">
        <is>
          <t>Quality Assurance, Unit &amp; E2E Integration Testing</t>
        </is>
      </c>
      <c r="C13" s="13">
        <f>'Granular Breakdown'!G18</f>
        <v/>
      </c>
      <c r="D13" s="14">
        <f>'Granular Breakdown'!G18/'Granular Breakdown'!H18</f>
        <v/>
      </c>
      <c r="E13" s="12" t="inlineStr">
        <is>
          <t>xUnit, Moq, Testcontainers, Selenium/Playwright</t>
        </is>
      </c>
      <c r="F13" s="12" t="inlineStr">
        <is>
          <t>QA Automation Engineer / Team</t>
        </is>
      </c>
    </row>
    <row r="14">
      <c r="B14" s="15" t="inlineStr">
        <is>
          <t>Total Estimated Effort</t>
        </is>
      </c>
      <c r="C14" s="16">
        <f>SUM(C10:C13)</f>
        <v/>
      </c>
      <c r="D14" s="17">
        <f>SUM(D10:D13)</f>
        <v/>
      </c>
      <c r="E14" s="15" t="inlineStr">
        <is>
          <t>All Technical Layers</t>
        </is>
      </c>
      <c r="F14" s="15" t="inlineStr">
        <is>
          <t>4 Core Team Members</t>
        </is>
      </c>
    </row>
    <row r="17">
      <c r="B17" s="9" t="inlineStr">
        <is>
          <t>2. Phased Milestone Execution Schedule</t>
        </is>
      </c>
    </row>
    <row r="18">
      <c r="B18" s="10" t="inlineStr">
        <is>
          <t>Phase</t>
        </is>
      </c>
      <c r="C18" s="10" t="inlineStr">
        <is>
          <t>Milestone Focus</t>
        </is>
      </c>
      <c r="D18" s="11" t="inlineStr">
        <is>
          <t>Target Duration</t>
        </is>
      </c>
      <c r="E18" s="11" t="inlineStr">
        <is>
          <t>Total Hours</t>
        </is>
      </c>
      <c r="F18" s="10" t="inlineStr">
        <is>
          <t>% Total</t>
        </is>
      </c>
      <c r="G18" s="10" t="inlineStr">
        <is>
          <t>Key Deliverables</t>
        </is>
      </c>
    </row>
    <row r="19">
      <c r="B19" s="18" t="inlineStr">
        <is>
          <t>Phase 1</t>
        </is>
      </c>
      <c r="C19" s="12" t="inlineStr">
        <is>
          <t>Foundation, Master Data &amp; Part Merging</t>
        </is>
      </c>
      <c r="D19" s="12" t="inlineStr">
        <is>
          <t>Weeks 1 - 3</t>
        </is>
      </c>
      <c r="E19" s="13" t="n">
        <v>200</v>
      </c>
      <c r="F19" s="14">
        <f>D19/$D$25</f>
        <v/>
      </c>
      <c r="G19" s="12" t="inlineStr">
        <is>
          <t>Schema, Auth, Customers, Rides, Multi-Vendor Parts, Part Merge Tool</t>
        </is>
      </c>
    </row>
    <row r="20">
      <c r="B20" s="18" t="inlineStr">
        <is>
          <t>Phase 2</t>
        </is>
      </c>
      <c r="C20" s="12" t="inlineStr">
        <is>
          <t>Customer Quotes, Orders &amp; Inventory Reservations</t>
        </is>
      </c>
      <c r="D20" s="12" t="inlineStr">
        <is>
          <t>Weeks 4 - 6</t>
        </is>
      </c>
      <c r="E20" s="13" t="n">
        <v>244</v>
      </c>
      <c r="F20" s="14">
        <f>D20/$D$25</f>
        <v/>
      </c>
      <c r="G20" s="12" t="inlineStr">
        <is>
          <t>Quote workflow, Markup formula, Order lifecycle, Holding bin engine</t>
        </is>
      </c>
    </row>
    <row r="21">
      <c r="B21" s="18" t="inlineStr">
        <is>
          <t>Phase 3</t>
        </is>
      </c>
      <c r="C21" s="12" t="inlineStr">
        <is>
          <t>Purchasing Queue, POs, AI Invoices &amp; Receiving</t>
        </is>
      </c>
      <c r="D21" s="12" t="inlineStr">
        <is>
          <t>Weeks 7 - 9</t>
        </is>
      </c>
      <c r="E21" s="13" t="n">
        <v>336</v>
      </c>
      <c r="F21" s="14">
        <f>D21/$D$25</f>
        <v/>
      </c>
      <c r="G21" s="12" t="inlineStr">
        <is>
          <t>Demand consolidation, Vendor POs, Document AI review, ZPL label printing</t>
        </is>
      </c>
    </row>
    <row r="22">
      <c r="B22" s="18" t="inlineStr">
        <is>
          <t>Phase 4</t>
        </is>
      </c>
      <c r="C22" s="12" t="inlineStr">
        <is>
          <t>Shipping Management &amp; UPS REST Integration</t>
        </is>
      </c>
      <c r="D22" s="12" t="inlineStr">
        <is>
          <t>Weeks 10 - 11</t>
        </is>
      </c>
      <c r="E22" s="13" t="n">
        <v>88</v>
      </c>
      <c r="F22" s="14">
        <f>D22/$D$25</f>
        <v/>
      </c>
      <c r="G22" s="12" t="inlineStr">
        <is>
          <t>Complete/Partial shipping, Holding release, UPS live rating &amp; label generation</t>
        </is>
      </c>
    </row>
    <row r="23">
      <c r="B23" s="18" t="inlineStr">
        <is>
          <t>Phase 5</t>
        </is>
      </c>
      <c r="C23" s="12" t="inlineStr">
        <is>
          <t>Customer Invoicing &amp; QuickBooks Desktop Sync</t>
        </is>
      </c>
      <c r="D23" s="12" t="inlineStr">
        <is>
          <t>Weeks 12 - 13</t>
        </is>
      </c>
      <c r="E23" s="13" t="n">
        <v>168</v>
      </c>
      <c r="F23" s="14">
        <f>D23/$D$25</f>
        <v/>
      </c>
      <c r="G23" s="12" t="inlineStr">
        <is>
          <t>Billing queue, QBWC SOAP Bridge, qbXML customer/invoice/bill sync</t>
        </is>
      </c>
    </row>
    <row r="24">
      <c r="B24" s="18" t="inlineStr">
        <is>
          <t>Phase 6</t>
        </is>
      </c>
      <c r="C24" s="12" t="inlineStr">
        <is>
          <t>End-to-End Hardening, User Acceptance &amp; Launch</t>
        </is>
      </c>
      <c r="D24" s="12" t="inlineStr">
        <is>
          <t>Week 14</t>
        </is>
      </c>
      <c r="E24" s="13" t="n">
        <v>52</v>
      </c>
      <c r="F24" s="14">
        <f>D24/$D$25</f>
        <v/>
      </c>
      <c r="G24" s="12" t="inlineStr">
        <is>
          <t>Full integrated scenario testing, Pilot data sync, Go-live deployment</t>
        </is>
      </c>
    </row>
    <row r="25">
      <c r="B25" s="15" t="inlineStr">
        <is>
          <t>Total</t>
        </is>
      </c>
      <c r="C25" s="15" t="inlineStr">
        <is>
          <t>Complete Scope Delivery</t>
        </is>
      </c>
      <c r="D25" s="15" t="inlineStr">
        <is>
          <t>14 Calendar Weeks</t>
        </is>
      </c>
      <c r="E25" s="16">
        <f>SUM(E19:E24)</f>
        <v/>
      </c>
      <c r="F25" s="17">
        <f>SUM(F19:F24)</f>
        <v/>
      </c>
      <c r="G25" s="15" t="inlineStr">
        <is>
          <t>Full Production Readiness</t>
        </is>
      </c>
    </row>
  </sheetData>
  <mergeCells count="8">
    <mergeCell ref="F4:G4"/>
    <mergeCell ref="B5:C5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58" customWidth="1" min="3" max="3"/>
    <col width="18" customWidth="1" min="4" max="4"/>
    <col width="20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GRANULAR TASK &amp; WORK ESTIMATION BREAKDOWN</t>
        </is>
      </c>
    </row>
    <row r="2">
      <c r="A2" s="2" t="inlineStr">
        <is>
          <t>Detailed Breakdown by Feature Module, Technical Layer and Task Scope</t>
        </is>
      </c>
    </row>
    <row r="3">
      <c r="A3" s="11" t="inlineStr">
        <is>
          <t>ID</t>
        </is>
      </c>
      <c r="B3" s="10" t="inlineStr">
        <is>
          <t>Feature Module</t>
        </is>
      </c>
      <c r="C3" s="10" t="inlineStr">
        <is>
          <t>Functional Scope &amp; Deliverables</t>
        </is>
      </c>
      <c r="D3" s="11" t="inlineStr">
        <is>
          <t>DB / EF Core (Hrs)</t>
        </is>
      </c>
      <c r="E3" s="11" t="inlineStr">
        <is>
          <t>Backend Logic (Hrs)</t>
        </is>
      </c>
      <c r="F3" s="11" t="inlineStr">
        <is>
          <t>Frontend UI (Hrs)</t>
        </is>
      </c>
      <c r="G3" s="11" t="inlineStr">
        <is>
          <t>Testing &amp; QA (Hrs)</t>
        </is>
      </c>
      <c r="H3" s="11" t="inlineStr">
        <is>
          <t>Total Module Hours</t>
        </is>
      </c>
    </row>
    <row r="4">
      <c r="A4" s="19" t="inlineStr">
        <is>
          <t>MOD-01</t>
        </is>
      </c>
      <c r="B4" s="18" t="inlineStr">
        <is>
          <t>1. Foundation, Identity &amp; Data Layer</t>
        </is>
      </c>
      <c r="C4" s="12" t="inlineStr">
        <is>
          <t>EF Core 8.0 schema, AuditableEntity base classes, Identity RBAC (Admin, Office, Buyer, Warehouse, Accounting), User management Razor Pages</t>
        </is>
      </c>
      <c r="D4" s="13" t="n">
        <v>18</v>
      </c>
      <c r="E4" s="13" t="n">
        <v>20</v>
      </c>
      <c r="F4" s="13" t="n">
        <v>14</v>
      </c>
      <c r="G4" s="13" t="n">
        <v>12</v>
      </c>
      <c r="H4" s="20">
        <f>SUM(D4:G4)</f>
        <v/>
      </c>
    </row>
    <row r="5">
      <c r="A5" s="21" t="inlineStr">
        <is>
          <t>MOD-02</t>
        </is>
      </c>
      <c r="B5" s="22" t="inlineStr">
        <is>
          <t>2. Customer &amp; Ride Tracking</t>
        </is>
      </c>
      <c r="C5" s="23" t="inlineStr">
        <is>
          <t>Customer master (QB sync flag), Multi-contact management, Customer rides (Manufacturer, Model, Serial #), Ride selector component</t>
        </is>
      </c>
      <c r="D5" s="24" t="n">
        <v>8</v>
      </c>
      <c r="E5" s="24" t="n">
        <v>14</v>
      </c>
      <c r="F5" s="24" t="n">
        <v>16</v>
      </c>
      <c r="G5" s="24" t="n">
        <v>10</v>
      </c>
      <c r="H5" s="25">
        <f>SUM(D5:G5)</f>
        <v/>
      </c>
    </row>
    <row r="6">
      <c r="A6" s="19" t="inlineStr">
        <is>
          <t>MOD-03</t>
        </is>
      </c>
      <c r="B6" s="18" t="inlineStr">
        <is>
          <t>3. Inventory Master &amp; Part Merge Tool</t>
        </is>
      </c>
      <c r="C6" s="12" t="inlineStr">
        <is>
          <t>Multi-vendor sources (EUR cost, lowest cost default), Ride applications, Non-stocked part flags, Duplicate part merge wizard with audit history</t>
        </is>
      </c>
      <c r="D6" s="13" t="n">
        <v>16</v>
      </c>
      <c r="E6" s="13" t="n">
        <v>28</v>
      </c>
      <c r="F6" s="13" t="n">
        <v>22</v>
      </c>
      <c r="G6" s="13" t="n">
        <v>18</v>
      </c>
      <c r="H6" s="20">
        <f>SUM(D6:G6)</f>
        <v/>
      </c>
    </row>
    <row r="7">
      <c r="A7" s="21" t="inlineStr">
        <is>
          <t>MOD-04</t>
        </is>
      </c>
      <c r="B7" s="22" t="inlineStr">
        <is>
          <t>4. Customer Quotes &amp; Dynamic Pricing</t>
        </is>
      </c>
      <c r="C7" s="23" t="inlineStr">
        <is>
          <t>Configurable EUR factor &amp; Markup, Quote creation, PDF terms generation, Expiration dates, 1-click conversion to Customer Order</t>
        </is>
      </c>
      <c r="D7" s="24" t="n">
        <v>10</v>
      </c>
      <c r="E7" s="24" t="n">
        <v>24</v>
      </c>
      <c r="F7" s="24" t="n">
        <v>20</v>
      </c>
      <c r="G7" s="24" t="n">
        <v>14</v>
      </c>
      <c r="H7" s="25">
        <f>SUM(D7:G7)</f>
        <v/>
      </c>
    </row>
    <row r="8">
      <c r="A8" s="19" t="inlineStr">
        <is>
          <t>MOD-05</t>
        </is>
      </c>
      <c r="B8" s="18" t="inlineStr">
        <is>
          <t>5. Customer Orders &amp; Holding Bins</t>
        </is>
      </c>
      <c r="C8" s="12" t="inlineStr">
        <is>
          <t>Order workflow (Quote -&gt; Shipped), Complete vs Partial shipment flags, Order holding location allocation, Manual price &amp; charge adjustments</t>
        </is>
      </c>
      <c r="D8" s="13" t="n">
        <v>14</v>
      </c>
      <c r="E8" s="13" t="n">
        <v>32</v>
      </c>
      <c r="F8" s="13" t="n">
        <v>26</v>
      </c>
      <c r="G8" s="13" t="n">
        <v>20</v>
      </c>
      <c r="H8" s="20">
        <f>SUM(D8:G8)</f>
        <v/>
      </c>
    </row>
    <row r="9">
      <c r="A9" s="21" t="inlineStr">
        <is>
          <t>MOD-06</t>
        </is>
      </c>
      <c r="B9" s="22" t="inlineStr">
        <is>
          <t>6. Inventory Reservation Engine</t>
        </is>
      </c>
      <c r="C9" s="23" t="inlineStr">
        <is>
          <t>Real-time state machine: Available = QOH - Reserved, Optimistic concurrency (RowVersion), Atomic stock locking, Deficit routing to queue</t>
        </is>
      </c>
      <c r="D9" s="24" t="n">
        <v>12</v>
      </c>
      <c r="E9" s="24" t="n">
        <v>36</v>
      </c>
      <c r="F9" s="24" t="n">
        <v>12</v>
      </c>
      <c r="G9" s="24" t="n">
        <v>24</v>
      </c>
      <c r="H9" s="25">
        <f>SUM(D9:G9)</f>
        <v/>
      </c>
    </row>
    <row r="10">
      <c r="A10" s="19" t="inlineStr">
        <is>
          <t>MOD-07</t>
        </is>
      </c>
      <c r="B10" s="18" t="inlineStr">
        <is>
          <t>7. Purchasing Queue &amp; Aggregation</t>
        </is>
      </c>
      <c r="C10" s="12" t="inlineStr">
        <is>
          <t>Demand aggregation from order deficits &amp; ROP triggers, Consolidate by Vendor + Ride, Source order traceability, Manual qty adjustments</t>
        </is>
      </c>
      <c r="D10" s="13" t="n">
        <v>12</v>
      </c>
      <c r="E10" s="13" t="n">
        <v>34</v>
      </c>
      <c r="F10" s="13" t="n">
        <v>24</v>
      </c>
      <c r="G10" s="13" t="n">
        <v>18</v>
      </c>
      <c r="H10" s="20">
        <f>SUM(D10:G10)</f>
        <v/>
      </c>
    </row>
    <row r="11">
      <c r="A11" s="21" t="inlineStr">
        <is>
          <t>MOD-08</t>
        </is>
      </c>
      <c r="B11" s="22" t="inlineStr">
        <is>
          <t>8. Purchase Order Management</t>
        </is>
      </c>
      <c r="C11" s="23" t="inlineStr">
        <is>
          <t>PO generation in EUR, Ride/Serial display for vendor verification, PO editing post-dispatch, Order line purpose retention (demand vs stock)</t>
        </is>
      </c>
      <c r="D11" s="24" t="n">
        <v>10</v>
      </c>
      <c r="E11" s="24" t="n">
        <v>22</v>
      </c>
      <c r="F11" s="24" t="n">
        <v>20</v>
      </c>
      <c r="G11" s="24" t="n">
        <v>12</v>
      </c>
      <c r="H11" s="25">
        <f>SUM(D11:G11)</f>
        <v/>
      </c>
    </row>
    <row r="12">
      <c r="A12" s="19" t="inlineStr">
        <is>
          <t>MOD-09</t>
        </is>
      </c>
      <c r="B12" s="18" t="inlineStr">
        <is>
          <t>9. AI Vendor Invoice Processing</t>
        </is>
      </c>
      <c r="C12" s="12" t="inlineStr">
        <is>
          <t>Azure Document Intelligence / Vision API integration, Split-screen PDF extraction UI, Part cross-referencing, Master cost updates &amp; open order alerts</t>
        </is>
      </c>
      <c r="D12" s="13" t="n">
        <v>10</v>
      </c>
      <c r="E12" s="13" t="n">
        <v>38</v>
      </c>
      <c r="F12" s="13" t="n">
        <v>32</v>
      </c>
      <c r="G12" s="13" t="n">
        <v>22</v>
      </c>
      <c r="H12" s="20">
        <f>SUM(D12:G12)</f>
        <v/>
      </c>
    </row>
    <row r="13">
      <c r="A13" s="21" t="inlineStr">
        <is>
          <t>MOD-10</t>
        </is>
      </c>
      <c r="B13" s="22" t="inlineStr">
        <is>
          <t>10. Warehouse Receiving &amp; Labels</t>
        </is>
      </c>
      <c r="C13" s="23" t="inlineStr">
        <is>
          <t>PO line receiving, Partial receipt tracking, Over-delivery warning gates, Auto-reservation &amp; holding directives, ZPL thermal barcode label printing</t>
        </is>
      </c>
      <c r="D13" s="24" t="n">
        <v>12</v>
      </c>
      <c r="E13" s="24" t="n">
        <v>28</v>
      </c>
      <c r="F13" s="24" t="n">
        <v>24</v>
      </c>
      <c r="G13" s="24" t="n">
        <v>18</v>
      </c>
      <c r="H13" s="25">
        <f>SUM(D13:G13)</f>
        <v/>
      </c>
    </row>
    <row r="14">
      <c r="A14" s="19" t="inlineStr">
        <is>
          <t>MOD-11</t>
        </is>
      </c>
      <c r="B14" s="18" t="inlineStr">
        <is>
          <t>11. Shipping &amp; UPS REST API</t>
        </is>
      </c>
      <c r="C14" s="12" t="inlineStr">
        <is>
          <t>Complete vs Partial fulfillment dashboard, Pick lists from warehouse &amp; holding bins, UPS REST API (Rating, Shipping labels, Tracking #), Manual override</t>
        </is>
      </c>
      <c r="D14" s="13" t="n">
        <v>10</v>
      </c>
      <c r="E14" s="13" t="n">
        <v>34</v>
      </c>
      <c r="F14" s="13" t="n">
        <v>24</v>
      </c>
      <c r="G14" s="13" t="n">
        <v>20</v>
      </c>
      <c r="H14" s="20">
        <f>SUM(D14:G14)</f>
        <v/>
      </c>
    </row>
    <row r="15">
      <c r="A15" s="21" t="inlineStr">
        <is>
          <t>MOD-12</t>
        </is>
      </c>
      <c r="B15" s="22" t="inlineStr">
        <is>
          <t>12. Customer Invoicing Queue</t>
        </is>
      </c>
      <c r="C15" s="23" t="inlineStr">
        <is>
          <t>Post-shipment billing queue, Multiple shipments -&gt; multiple invoices, Additional charges (shipping, rush fee, discount), Manual review approval</t>
        </is>
      </c>
      <c r="D15" s="24" t="n">
        <v>8</v>
      </c>
      <c r="E15" s="24" t="n">
        <v>18</v>
      </c>
      <c r="F15" s="24" t="n">
        <v>16</v>
      </c>
      <c r="G15" s="24" t="n">
        <v>12</v>
      </c>
      <c r="H15" s="25">
        <f>SUM(D15:G15)</f>
        <v/>
      </c>
    </row>
    <row r="16">
      <c r="A16" s="19" t="inlineStr">
        <is>
          <t>MOD-13</t>
        </is>
      </c>
      <c r="B16" s="18" t="inlineStr">
        <is>
          <t>13. QuickBooks Desktop Sync (QBWC)</t>
        </is>
      </c>
      <c r="C16" s="12" t="inlineStr">
        <is>
          <t>Isolated sync bridge, SoapCore QBWC endpoint, qbXML Customer/Invoice/Bill generation, Transaction ID retention &amp; idempotency guarantees</t>
        </is>
      </c>
      <c r="D16" s="13" t="n">
        <v>16</v>
      </c>
      <c r="E16" s="13" t="n">
        <v>48</v>
      </c>
      <c r="F16" s="13" t="n">
        <v>22</v>
      </c>
      <c r="G16" s="13" t="n">
        <v>28</v>
      </c>
      <c r="H16" s="20">
        <f>SUM(D16:G16)</f>
        <v/>
      </c>
    </row>
    <row r="17">
      <c r="A17" s="21" t="inlineStr">
        <is>
          <t>MOD-14</t>
        </is>
      </c>
      <c r="B17" s="22" t="inlineStr">
        <is>
          <t>14. Audit Trail, Dashboard &amp; Settings</t>
        </is>
      </c>
      <c r="C17" s="23" t="inlineStr">
        <is>
          <t>Operational command center, Price change discrepancy alerts, Configuration page (EUR factor, markup), Complete transaction audit history</t>
        </is>
      </c>
      <c r="D17" s="24" t="n">
        <v>8</v>
      </c>
      <c r="E17" s="24" t="n">
        <v>18</v>
      </c>
      <c r="F17" s="24" t="n">
        <v>18</v>
      </c>
      <c r="G17" s="24" t="n">
        <v>12</v>
      </c>
      <c r="H17" s="25">
        <f>SUM(D17:G17)</f>
        <v/>
      </c>
    </row>
    <row r="18">
      <c r="A18" s="26" t="inlineStr">
        <is>
          <t>TOTAL</t>
        </is>
      </c>
      <c r="B18" s="15" t="inlineStr">
        <is>
          <t>All 14 Project Modules</t>
        </is>
      </c>
      <c r="C18" s="15" t="inlineStr">
        <is>
          <t>Complete ASP.NET Core 8.0 Razor Pages Execution</t>
        </is>
      </c>
      <c r="D18" s="16">
        <f>SUM(D4:D17)</f>
        <v/>
      </c>
      <c r="E18" s="16">
        <f>SUM(E4:E17)</f>
        <v/>
      </c>
      <c r="F18" s="16">
        <f>SUM(F4:F17)</f>
        <v/>
      </c>
      <c r="G18" s="16">
        <f>SUM(G4:G17)</f>
        <v/>
      </c>
      <c r="H18" s="16">
        <f>SUM(H4:H17)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4" customWidth="1" min="3" max="3"/>
    <col width="14" customWidth="1" min="4" max="4"/>
    <col width="14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>
      <c r="A1" s="1" t="inlineStr">
        <is>
          <t>RESOURCE STAFFING PLAN &amp; 14-WEEK ALLOCATION</t>
        </is>
      </c>
    </row>
    <row r="2">
      <c r="A2" s="2" t="inlineStr">
        <is>
          <t>Weekly Capacity Allocation per Specialist Resource</t>
        </is>
      </c>
    </row>
    <row r="3">
      <c r="A3" s="10" t="inlineStr">
        <is>
          <t>Resource Role</t>
        </is>
      </c>
      <c r="B3" s="10" t="inlineStr">
        <is>
          <t>Focus &amp; Core Responsibilities</t>
        </is>
      </c>
      <c r="C3" s="11" t="inlineStr">
        <is>
          <t>Weekly Hours</t>
        </is>
      </c>
      <c r="D3" s="11" t="inlineStr">
        <is>
          <t>Total Hours</t>
        </is>
      </c>
      <c r="E3" s="11" t="inlineStr">
        <is>
          <t>Allocation %</t>
        </is>
      </c>
      <c r="F3" s="11" t="inlineStr">
        <is>
          <t>W1</t>
        </is>
      </c>
      <c r="G3" s="11" t="inlineStr">
        <is>
          <t>W2</t>
        </is>
      </c>
      <c r="H3" s="11" t="inlineStr">
        <is>
          <t>W3</t>
        </is>
      </c>
      <c r="I3" s="11" t="inlineStr">
        <is>
          <t>W4</t>
        </is>
      </c>
      <c r="J3" s="11" t="inlineStr">
        <is>
          <t>W5</t>
        </is>
      </c>
      <c r="K3" s="11" t="inlineStr">
        <is>
          <t>W6</t>
        </is>
      </c>
      <c r="L3" s="11" t="inlineStr">
        <is>
          <t>W7</t>
        </is>
      </c>
      <c r="M3" s="11" t="inlineStr">
        <is>
          <t>W8</t>
        </is>
      </c>
      <c r="N3" s="11" t="inlineStr">
        <is>
          <t>W9</t>
        </is>
      </c>
      <c r="O3" s="11" t="inlineStr">
        <is>
          <t>W10</t>
        </is>
      </c>
      <c r="P3" s="11" t="inlineStr">
        <is>
          <t>W11</t>
        </is>
      </c>
      <c r="Q3" s="11" t="inlineStr">
        <is>
          <t>W12</t>
        </is>
      </c>
      <c r="R3" s="11" t="inlineStr">
        <is>
          <t>W13</t>
        </is>
      </c>
      <c r="S3" s="11" t="inlineStr">
        <is>
          <t>W14</t>
        </is>
      </c>
    </row>
    <row r="4">
      <c r="A4" s="18" t="inlineStr">
        <is>
          <t>Lead Architect / Tech Lead</t>
        </is>
      </c>
      <c r="B4" s="12" t="inlineStr">
        <is>
          <t>Architecture, QBWC SOAP Bridge, Concurrency, Security, Code Reviews</t>
        </is>
      </c>
      <c r="C4" s="13" t="n">
        <v>18</v>
      </c>
      <c r="D4" s="20">
        <f>C4*14</f>
        <v/>
      </c>
      <c r="E4" s="27" t="inlineStr">
        <is>
          <t>45%</t>
        </is>
      </c>
      <c r="F4" s="28" t="n">
        <v>18</v>
      </c>
      <c r="G4" s="28" t="n">
        <v>18</v>
      </c>
      <c r="H4" s="28" t="n">
        <v>18</v>
      </c>
      <c r="I4" s="28" t="n">
        <v>18</v>
      </c>
      <c r="J4" s="28" t="n">
        <v>18</v>
      </c>
      <c r="K4" s="28" t="n">
        <v>18</v>
      </c>
      <c r="L4" s="28" t="n">
        <v>18</v>
      </c>
      <c r="M4" s="28" t="n">
        <v>18</v>
      </c>
      <c r="N4" s="28" t="n">
        <v>18</v>
      </c>
      <c r="O4" s="28" t="n">
        <v>18</v>
      </c>
      <c r="P4" s="28" t="n">
        <v>18</v>
      </c>
      <c r="Q4" s="28" t="n">
        <v>18</v>
      </c>
      <c r="R4" s="28" t="n">
        <v>18</v>
      </c>
      <c r="S4" s="28" t="n">
        <v>18</v>
      </c>
    </row>
    <row r="5">
      <c r="A5" s="18" t="inlineStr">
        <is>
          <t>Senior Full-Stack Dev 1</t>
        </is>
      </c>
      <c r="B5" s="12" t="inlineStr">
        <is>
          <t>EF Core Models, Reservation Engine, Orders, Purchasing Queue, Receiving</t>
        </is>
      </c>
      <c r="C5" s="13" t="n">
        <v>35</v>
      </c>
      <c r="D5" s="20">
        <f>C5*14</f>
        <v/>
      </c>
      <c r="E5" s="27" t="inlineStr">
        <is>
          <t>87.5%</t>
        </is>
      </c>
      <c r="F5" s="28" t="n">
        <v>35</v>
      </c>
      <c r="G5" s="28" t="n">
        <v>35</v>
      </c>
      <c r="H5" s="28" t="n">
        <v>35</v>
      </c>
      <c r="I5" s="28" t="n">
        <v>35</v>
      </c>
      <c r="J5" s="28" t="n">
        <v>35</v>
      </c>
      <c r="K5" s="28" t="n">
        <v>35</v>
      </c>
      <c r="L5" s="28" t="n">
        <v>35</v>
      </c>
      <c r="M5" s="28" t="n">
        <v>35</v>
      </c>
      <c r="N5" s="28" t="n">
        <v>35</v>
      </c>
      <c r="O5" s="28" t="n">
        <v>35</v>
      </c>
      <c r="P5" s="28" t="n">
        <v>35</v>
      </c>
      <c r="Q5" s="28" t="n">
        <v>35</v>
      </c>
      <c r="R5" s="28" t="n">
        <v>35</v>
      </c>
      <c r="S5" s="28" t="n">
        <v>35</v>
      </c>
    </row>
    <row r="6">
      <c r="A6" s="18" t="inlineStr">
        <is>
          <t>Senior Full-Stack Dev 2</t>
        </is>
      </c>
      <c r="B6" s="12" t="inlineStr">
        <is>
          <t>AI Document Extraction, Razor Pages UI, UPS API, Invoicing, Labels</t>
        </is>
      </c>
      <c r="C6" s="13" t="n">
        <v>35</v>
      </c>
      <c r="D6" s="20">
        <f>C6*14</f>
        <v/>
      </c>
      <c r="E6" s="27" t="inlineStr">
        <is>
          <t>87.5%</t>
        </is>
      </c>
      <c r="F6" s="28" t="n">
        <v>35</v>
      </c>
      <c r="G6" s="28" t="n">
        <v>35</v>
      </c>
      <c r="H6" s="28" t="n">
        <v>35</v>
      </c>
      <c r="I6" s="28" t="n">
        <v>35</v>
      </c>
      <c r="J6" s="28" t="n">
        <v>35</v>
      </c>
      <c r="K6" s="28" t="n">
        <v>35</v>
      </c>
      <c r="L6" s="28" t="n">
        <v>35</v>
      </c>
      <c r="M6" s="28" t="n">
        <v>35</v>
      </c>
      <c r="N6" s="28" t="n">
        <v>35</v>
      </c>
      <c r="O6" s="28" t="n">
        <v>35</v>
      </c>
      <c r="P6" s="28" t="n">
        <v>35</v>
      </c>
      <c r="Q6" s="28" t="n">
        <v>35</v>
      </c>
      <c r="R6" s="28" t="n">
        <v>35</v>
      </c>
      <c r="S6" s="28" t="n">
        <v>35</v>
      </c>
    </row>
    <row r="7">
      <c r="A7" s="18" t="inlineStr">
        <is>
          <t>QA &amp; Automation Engineer</t>
        </is>
      </c>
      <c r="B7" s="12" t="inlineStr">
        <is>
          <t>Test Plans, Integration Tests, QB Synchronization Verification, UAT</t>
        </is>
      </c>
      <c r="C7" s="13" t="n">
        <v>16</v>
      </c>
      <c r="D7" s="20">
        <f>C7*14</f>
        <v/>
      </c>
      <c r="E7" s="27" t="inlineStr">
        <is>
          <t>40%</t>
        </is>
      </c>
      <c r="F7" s="28" t="n">
        <v>12</v>
      </c>
      <c r="G7" s="28" t="n">
        <v>12</v>
      </c>
      <c r="H7" s="28" t="n">
        <v>14</v>
      </c>
      <c r="I7" s="28" t="n">
        <v>14</v>
      </c>
      <c r="J7" s="28" t="n">
        <v>16</v>
      </c>
      <c r="K7" s="28" t="n">
        <v>16</v>
      </c>
      <c r="L7" s="28" t="n">
        <v>18</v>
      </c>
      <c r="M7" s="28" t="n">
        <v>18</v>
      </c>
      <c r="N7" s="28" t="n">
        <v>18</v>
      </c>
      <c r="O7" s="28" t="n">
        <v>18</v>
      </c>
      <c r="P7" s="28" t="n">
        <v>18</v>
      </c>
      <c r="Q7" s="28" t="n">
        <v>18</v>
      </c>
      <c r="R7" s="28" t="n">
        <v>20</v>
      </c>
      <c r="S7" s="28" t="n">
        <v>20</v>
      </c>
    </row>
    <row r="8">
      <c r="A8" s="15" t="inlineStr">
        <is>
          <t>TOTAL TEAM VELOCITY</t>
        </is>
      </c>
      <c r="B8" s="15" t="inlineStr">
        <is>
          <t>Blended Engineering Velocity (Hrs/Wk)</t>
        </is>
      </c>
      <c r="C8" s="16">
        <f>SUM(C4:C7)</f>
        <v/>
      </c>
      <c r="D8" s="16">
        <f>SUM(D4:D7)</f>
        <v/>
      </c>
      <c r="E8" s="26" t="inlineStr">
        <is>
          <t>100% Blended</t>
        </is>
      </c>
      <c r="F8" s="29">
        <f>SUM(F4:F7)</f>
        <v/>
      </c>
      <c r="G8" s="29">
        <f>SUM(G4:G7)</f>
        <v/>
      </c>
      <c r="H8" s="29">
        <f>SUM(H4:H7)</f>
        <v/>
      </c>
      <c r="I8" s="29">
        <f>SUM(I4:I7)</f>
        <v/>
      </c>
      <c r="J8" s="29">
        <f>SUM(J4:J7)</f>
        <v/>
      </c>
      <c r="K8" s="29">
        <f>SUM(K4:K7)</f>
        <v/>
      </c>
      <c r="L8" s="29">
        <f>SUM(L4:L7)</f>
        <v/>
      </c>
      <c r="M8" s="29">
        <f>SUM(M4:M7)</f>
        <v/>
      </c>
      <c r="N8" s="29">
        <f>SUM(N4:N7)</f>
        <v/>
      </c>
      <c r="O8" s="29">
        <f>SUM(O4:O7)</f>
        <v/>
      </c>
      <c r="P8" s="29">
        <f>SUM(P4:P7)</f>
        <v/>
      </c>
      <c r="Q8" s="29">
        <f>SUM(Q4:Q7)</f>
        <v/>
      </c>
      <c r="R8" s="29">
        <f>SUM(R4:R7)</f>
        <v/>
      </c>
      <c r="S8" s="29">
        <f>SUM(S4:S7)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34" customWidth="1" min="5" max="5"/>
    <col width="46" customWidth="1" min="6" max="6"/>
  </cols>
  <sheetData>
    <row r="1">
      <c r="A1" s="1" t="inlineStr">
        <is>
          <t>PROJECT ASSUMPTIONS &amp; RISK MITIGATION REGISTER</t>
        </is>
      </c>
    </row>
    <row r="2">
      <c r="A2" s="2" t="inlineStr">
        <is>
          <t>Technical Preconditions, External Constraints, and Risk Management</t>
        </is>
      </c>
    </row>
    <row r="4">
      <c r="A4" s="9" t="inlineStr">
        <is>
          <t>1. Technical &amp; Architectural Assumptions</t>
        </is>
      </c>
    </row>
    <row r="5">
      <c r="A5" s="11" t="inlineStr">
        <is>
          <t>ID</t>
        </is>
      </c>
      <c r="B5" s="10" t="inlineStr">
        <is>
          <t>Domain Area</t>
        </is>
      </c>
      <c r="C5" s="10" t="inlineStr">
        <is>
          <t>Assumption Description</t>
        </is>
      </c>
      <c r="D5" s="10" t="inlineStr">
        <is>
          <t>Impact if Invalidated</t>
        </is>
      </c>
    </row>
    <row r="6">
      <c r="A6" s="19" t="inlineStr">
        <is>
          <t>ASM-01</t>
        </is>
      </c>
      <c r="B6" s="18" t="inlineStr">
        <is>
          <t>QuickBooks Desktop</t>
        </is>
      </c>
      <c r="C6" s="12" t="inlineStr">
        <is>
          <t>Client operates a supported QuickBooks Desktop Enterprise / Premier version and provides a sanitized .QBW company file for local development &amp; staging.</t>
        </is>
      </c>
      <c r="D6" s="12" t="inlineStr">
        <is>
          <t>High: Delays in sync development if QB Desktop instance cannot be tested locally.</t>
        </is>
      </c>
    </row>
    <row r="7">
      <c r="A7" s="21" t="inlineStr">
        <is>
          <t>ASM-02</t>
        </is>
      </c>
      <c r="B7" s="22" t="inlineStr">
        <is>
          <t>QBWC Integration Protocol</t>
        </is>
      </c>
      <c r="C7" s="23" t="inlineStr">
        <is>
          <t>Sync is implemented using the standard QuickBooks Web Connector (QBWC) SOAP protocol. PO sync is excluded from Phase 1 per scope §20.</t>
        </is>
      </c>
      <c r="D7" s="23" t="inlineStr">
        <is>
          <t>Medium: Custom Windows COM service would require additional development hours.</t>
        </is>
      </c>
    </row>
    <row r="8">
      <c r="A8" s="19" t="inlineStr">
        <is>
          <t>ASM-03</t>
        </is>
      </c>
      <c r="B8" s="18" t="inlineStr">
        <is>
          <t>Document AI Service</t>
        </is>
      </c>
      <c r="C8" s="12" t="inlineStr">
        <is>
          <t>Scanned vendor invoices are at least 200 DPI resolution, and client provisions an Azure Document Intelligence or OpenAI Vision API subscription.</t>
        </is>
      </c>
      <c r="D8" s="12" t="inlineStr">
        <is>
          <t>High: Poor OCR quality requires more manual human data entry.</t>
        </is>
      </c>
    </row>
    <row r="9">
      <c r="A9" s="21" t="inlineStr">
        <is>
          <t>ASM-04</t>
        </is>
      </c>
      <c r="B9" s="22" t="inlineStr">
        <is>
          <t>Zebra / Thermal Hardware</t>
        </is>
      </c>
      <c r="C9" s="23" t="inlineStr">
        <is>
          <t>Warehouse label printers support raw ZPL over TCP/IP (port 9100) or standard Windows network print spooling.</t>
        </is>
      </c>
      <c r="D9" s="23" t="inlineStr">
        <is>
          <t>Low: PDF fallback printing will be available through the browser.</t>
        </is>
      </c>
    </row>
    <row r="10">
      <c r="A10" s="19" t="inlineStr">
        <is>
          <t>ASM-05</t>
        </is>
      </c>
      <c r="B10" s="18" t="inlineStr">
        <is>
          <t>Pricing Formula &amp; Currency</t>
        </is>
      </c>
      <c r="C10" s="12" t="inlineStr">
        <is>
          <t>Vendor invoices are in Euros (EUR). Master conversion factor and markup remain system-wide configurable. Inbound freight is not allocated to unit cost.</t>
        </is>
      </c>
      <c r="D10" s="12" t="inlineStr">
        <is>
          <t>Medium: Per-part freight allocation would require complex cost accounting adjustments.</t>
        </is>
      </c>
    </row>
    <row r="11">
      <c r="A11" s="21" t="inlineStr">
        <is>
          <t>ASM-06</t>
        </is>
      </c>
      <c r="B11" s="22" t="inlineStr">
        <is>
          <t>Out-of-Scope Confirmation</t>
        </is>
      </c>
      <c r="C11" s="23" t="inlineStr">
        <is>
          <t>CRM/ACT sync, AI photo part recognition, mobile Zebra handheld apps, and automatic email dispatch are confirmed as Phase 2 items (§25).</t>
        </is>
      </c>
      <c r="D11" s="23" t="inlineStr">
        <is>
          <t>High: Introducing mobile apps or CRM in Phase 1 would expand scope significantly.</t>
        </is>
      </c>
    </row>
    <row r="14">
      <c r="A14" s="9" t="inlineStr">
        <is>
          <t>2. Technical Risk Management Register</t>
        </is>
      </c>
    </row>
    <row r="15">
      <c r="A15" s="11" t="inlineStr">
        <is>
          <t>Risk ID</t>
        </is>
      </c>
      <c r="B15" s="10" t="inlineStr">
        <is>
          <t>Risk Description</t>
        </is>
      </c>
      <c r="C15" s="11" t="inlineStr">
        <is>
          <t>Severity</t>
        </is>
      </c>
      <c r="D15" s="11" t="inlineStr">
        <is>
          <t>Probability</t>
        </is>
      </c>
      <c r="E15" s="10" t="inlineStr">
        <is>
          <t>Impact Assessment</t>
        </is>
      </c>
      <c r="F15" s="10" t="inlineStr">
        <is>
          <t>Architectural Mitigation Strategy</t>
        </is>
      </c>
    </row>
    <row r="16">
      <c r="A16" s="19" t="inlineStr">
        <is>
          <t>RSK-01</t>
        </is>
      </c>
      <c r="B16" s="12" t="inlineStr">
        <is>
          <t>QuickBooks Desktop Web Connector concurrency locks or transaction timeouts during simultaneous polling.</t>
        </is>
      </c>
      <c r="C16" s="30" t="inlineStr">
        <is>
          <t>High</t>
        </is>
      </c>
      <c r="D16" s="31" t="inlineStr">
        <is>
          <t>High</t>
        </is>
      </c>
      <c r="E16" s="12" t="inlineStr">
        <is>
          <t>Sync queue blocks or creates partial records in QB.</t>
        </is>
      </c>
      <c r="F16" s="12" t="inlineStr">
        <is>
          <t>Implement sequential database queue with atomic lock (sp_getapplock). Store QB TxnID immediately to ensure idempotency.</t>
        </is>
      </c>
    </row>
    <row r="17">
      <c r="A17" s="19" t="inlineStr">
        <is>
          <t>RSK-02</t>
        </is>
      </c>
      <c r="B17" s="12" t="inlineStr">
        <is>
          <t>Inventory race conditions when multiple office users confirm orders for identical stock simultaneously.</t>
        </is>
      </c>
      <c r="C17" s="30" t="inlineStr">
        <is>
          <t>High</t>
        </is>
      </c>
      <c r="D17" s="31" t="inlineStr">
        <is>
          <t>Medium</t>
        </is>
      </c>
      <c r="E17" s="12" t="inlineStr">
        <is>
          <t>Inventory oversold resulting in unfulfilled customer orders.</t>
        </is>
      </c>
      <c r="F17" s="12" t="inlineStr">
        <is>
          <t>Apply EF Core optimistic concurrency ([Timestamp] RowVersion) on Part entity with Serializable database transactions.</t>
        </is>
      </c>
    </row>
    <row r="18">
      <c r="A18" s="19" t="inlineStr">
        <is>
          <t>RSK-03</t>
        </is>
      </c>
      <c r="B18" s="12" t="inlineStr">
        <is>
          <t>Vendor invoice AI extraction errors on complex or irregular European invoice formats.</t>
        </is>
      </c>
      <c r="C18" s="32" t="inlineStr">
        <is>
          <t>Medium</t>
        </is>
      </c>
      <c r="D18" s="31" t="inlineStr">
        <is>
          <t>High</t>
        </is>
      </c>
      <c r="E18" s="12" t="inlineStr">
        <is>
          <t>Incorrect part matching or erroneous EUR costs saved.</t>
        </is>
      </c>
      <c r="F18" s="12" t="inlineStr">
        <is>
          <t>Strict Human-in-the-Loop review: split-screen UI requires manual confirmation before saving to master part or QB Bill queue.</t>
        </is>
      </c>
    </row>
    <row r="19">
      <c r="A19" s="19" t="inlineStr">
        <is>
          <t>RSK-04</t>
        </is>
      </c>
      <c r="B19" s="12" t="inlineStr">
        <is>
          <t>Vendor cost increases on parts for orders already confirmed with customers.</t>
        </is>
      </c>
      <c r="C19" s="32" t="inlineStr">
        <is>
          <t>Medium</t>
        </is>
      </c>
      <c r="D19" s="31" t="inlineStr">
        <is>
          <t>High</t>
        </is>
      </c>
      <c r="E19" s="12" t="inlineStr">
        <is>
          <t>Profit margin erosion or customer billing disputes.</t>
        </is>
      </c>
      <c r="F19" s="12" t="inlineStr">
        <is>
          <t>System recalculates future selling prices but explicitly flags open customer orders for manual review without auto-changing prices.</t>
        </is>
      </c>
    </row>
    <row r="20">
      <c r="A20" s="19" t="inlineStr">
        <is>
          <t>RSK-05</t>
        </is>
      </c>
      <c r="B20" s="12" t="inlineStr">
        <is>
          <t>UPS Carrier API rate limits or intermittent network outages at shipping docks.</t>
        </is>
      </c>
      <c r="C20" s="33" t="inlineStr">
        <is>
          <t>Low</t>
        </is>
      </c>
      <c r="D20" s="31" t="inlineStr">
        <is>
          <t>Medium</t>
        </is>
      </c>
      <c r="E20" s="12" t="inlineStr">
        <is>
          <t>Warehouse shipping operations temporarily blocked.</t>
        </is>
      </c>
      <c r="F20" s="12" t="inlineStr">
        <is>
          <t>Built-in manual override allows warehouse personnel to enter tracking numbers and shipping costs manually.</t>
        </is>
      </c>
    </row>
    <row r="21">
      <c r="A21" s="19" t="inlineStr">
        <is>
          <t>RSK-06</t>
        </is>
      </c>
      <c r="B21" s="12" t="inlineStr">
        <is>
          <t>QuickBooks company file schema discrepancies between test file and live production company file.</t>
        </is>
      </c>
      <c r="C21" s="30" t="inlineStr">
        <is>
          <t>High</t>
        </is>
      </c>
      <c r="D21" s="31" t="inlineStr">
        <is>
          <t>Low</t>
        </is>
      </c>
      <c r="E21" s="12" t="inlineStr">
        <is>
          <t>QBWC SOAP fails to locate required Chart of Accounts or Items.</t>
        </is>
      </c>
      <c r="F21" s="12" t="inlineStr">
        <is>
          <t>Dedicated pre-launch verification script validates all Account Names, Tax Codes, and Item Masters against live QB Desktop prior to cutover.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2026-09-10T18:18:38Z</dcterms:created>
  <dcterms:modified xmlns:dcterms="http://purl.org/dc/terms/" xmlns:xsi="http://www.w3.org/2001/XMLSchema-instance" xsi:type="dcterms:W3CDTF">2026-09-10T18:18:38Z</dcterms:modified>
</cp:coreProperties>
</file>